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r\Desktop\"/>
    </mc:Choice>
  </mc:AlternateContent>
  <xr:revisionPtr revIDLastSave="0" documentId="13_ncr:1_{D181E243-AA53-4CA3-BD20-5802793764ED}" xr6:coauthVersionLast="47" xr6:coauthVersionMax="47" xr10:uidLastSave="{00000000-0000-0000-0000-000000000000}"/>
  <bookViews>
    <workbookView xWindow="14295" yWindow="0" windowWidth="14610" windowHeight="15585" xr2:uid="{883F0078-C74E-435C-847F-B73EF87EA4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1" i="1" l="1"/>
  <c r="S20" i="1"/>
  <c r="S26" i="1"/>
  <c r="S25" i="1"/>
  <c r="S24" i="1"/>
  <c r="S23" i="1"/>
  <c r="S22" i="1"/>
  <c r="S19" i="1"/>
  <c r="S18" i="1"/>
  <c r="S17" i="1"/>
  <c r="S16" i="1"/>
  <c r="S15" i="1"/>
  <c r="S14" i="1"/>
  <c r="S13" i="1"/>
  <c r="S12" i="1"/>
  <c r="S27" i="1" l="1"/>
</calcChain>
</file>

<file path=xl/sharedStrings.xml><?xml version="1.0" encoding="utf-8"?>
<sst xmlns="http://schemas.openxmlformats.org/spreadsheetml/2006/main" count="74" uniqueCount="74">
  <si>
    <t>Requisito</t>
  </si>
  <si>
    <t>Accurate, or correct*</t>
  </si>
  <si>
    <t>Atomic</t>
  </si>
  <si>
    <t>Complete*</t>
  </si>
  <si>
    <t>Concise</t>
  </si>
  <si>
    <t>Consistent*</t>
  </si>
  <si>
    <t>Does not conflict with other requirements</t>
  </si>
  <si>
    <t>Does not duplicate with other requirements</t>
  </si>
  <si>
    <t>Independent</t>
  </si>
  <si>
    <t>Prioritized*</t>
  </si>
  <si>
    <t>Realistic</t>
  </si>
  <si>
    <t>Traceable*</t>
  </si>
  <si>
    <t>Traced to a source</t>
  </si>
  <si>
    <t>Unambiguous*</t>
  </si>
  <si>
    <t>Understandable by stakeholders</t>
  </si>
  <si>
    <t>Unique</t>
  </si>
  <si>
    <t>Verifiable*</t>
  </si>
  <si>
    <t>PLANTILLA DE EVALUACIÓN DE REQUISITOS</t>
  </si>
  <si>
    <t>Proyecto evaluado:</t>
  </si>
  <si>
    <t>Autor(es) del proyecto:</t>
  </si>
  <si>
    <t>Evaluado por:</t>
  </si>
  <si>
    <t>Criterios de evaluación (IEEE standard 830-1998)</t>
  </si>
  <si>
    <t>Escala:             4 = Completamente de acuerdo         3 = De acuerdo       2 = Neutro       1 = Desacuerdo un poco        0 = Desacuerdo totalmente</t>
  </si>
  <si>
    <t>TOTAL
 (/60)</t>
  </si>
  <si>
    <t>PROMEDIO GENERAL</t>
  </si>
  <si>
    <t>REQUISITOS FALTANTES</t>
  </si>
  <si>
    <t>REQUISITOS</t>
  </si>
  <si>
    <t>JUSTIFICACIÓN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</si>
  <si>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</si>
  <si>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</si>
  <si>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</si>
  <si>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</si>
  <si>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</si>
  <si>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</si>
  <si>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</si>
  <si>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</si>
  <si>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</si>
  <si>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</si>
  <si>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</si>
  <si>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</si>
  <si>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</si>
  <si>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</si>
  <si>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</si>
  <si>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</si>
  <si>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</si>
  <si>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</si>
  <si>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RF-01: Registro</t>
  </si>
  <si>
    <t>RF-02: Login</t>
  </si>
  <si>
    <t>RF-03: Logout</t>
  </si>
  <si>
    <t>RF-04: Transacción</t>
  </si>
  <si>
    <t>RF-05: Categorías</t>
  </si>
  <si>
    <t>RF-06: Edición/Elim.</t>
  </si>
  <si>
    <t>RF-07: Gráficos</t>
  </si>
  <si>
    <t>RF-08: Filtros</t>
  </si>
  <si>
    <t>RF-09: Historial</t>
  </si>
  <si>
    <t>RF-10: Presupuesto</t>
  </si>
  <si>
    <t>RF-11: Meta Ahorro</t>
  </si>
  <si>
    <t>RF-12: Estado Pres.</t>
  </si>
  <si>
    <t>RF-13: Hist. Pres.</t>
  </si>
  <si>
    <t>RF-14: Predicción</t>
  </si>
  <si>
    <t>RF-15: Educativo</t>
  </si>
  <si>
    <t>RF-16: Recuperación de Contraseña</t>
  </si>
  <si>
    <t>RF-17: Exportación de Datos</t>
  </si>
  <si>
    <t>RF-18: Gestión de Perfil de Usuario</t>
  </si>
  <si>
    <t>RF-19: Manejo de Errores de Modelo RLM</t>
  </si>
  <si>
    <t>RNF-07: Backup de Datos</t>
  </si>
  <si>
    <t>Aunque existe registro e inicio de sesión (RF-01, RF-02), no hay un flujo para usuarios que olvidan su clave, lo cual es estándar en Firebase.</t>
  </si>
  <si>
    <t>Al ser una app de gestión financiera, el estudiante podría necesitar los datos en PDF o Excel para reportes externos; el documento solo menciona visualización.</t>
  </si>
  <si>
    <t>El SRS menciona el almacenamiento del perfil, pero no define el requisito para que el usuario pueda editar sus datos personales (nombre, foto, carrera).</t>
  </si>
  <si>
    <t>No se especifica cómo responderá la UI si el backend falla al invocar el script de Python o si los datos son insuficientes para la predicción (solo se menciona como limitación).</t>
  </si>
  <si>
    <t>No se menciona una política de respaldo de la base de datos MySQL ante fallos críticos del servidor.</t>
  </si>
  <si>
    <t>Desarrollo de una aplicación Móvil de Gestión Financiera Personal con Prediccion de Gastos Mensuales Para Estudiantes de la Carrera de Software de la ESPOCH</t>
  </si>
  <si>
    <t>Angel Rodrigo Guaño Quishpi</t>
  </si>
  <si>
    <t>Gerardo Jesus Barreno Flores 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</si>
</sst>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2" fontId="1" fillId="0" borderId="5" xfId="0" applyNumberFormat="1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</cellXfs>
  <cellStyles count="1">
    <cellStyle name="Normal" xfId="0" builtinId="0"/>
  </cellStyles>
  <dxfs count="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246B8F-6842-416A-B1B9-4B8C7E4F904F}" name="Tabla2" displayName="Tabla2" ref="B10:S27" totalsRowShown="0" headerRowDxfId="19" tableBorderDxfId="18">
  <autoFilter ref="B10:S27" xr:uid="{56246B8F-6842-416A-B1B9-4B8C7E4F904F}"/>
  <tableColumns count="18">
    <tableColumn id="1" xr3:uid="{B77B486F-E309-439B-A99D-2AABD531D65D}" name="Columna16" dataDxfId="17"/>
    <tableColumn id="2" xr3:uid="{F1DAFEF5-3413-4105-9947-9C818CD93532}" name="Columna17" dataDxfId="16"/>
    <tableColumn id="3" xr3:uid="{00B56746-F5AC-4DCC-8381-8A0AEBD083FB}" name="Columna1" dataDxfId="15"/>
    <tableColumn id="4" xr3:uid="{41231679-E358-44D3-8AD7-505DD1312A04}" name="Columna2" dataDxfId="14"/>
    <tableColumn id="5" xr3:uid="{8FDF5D2D-A9CD-4FF7-91E5-EB059CD7AF2B}" name="Columna3" dataDxfId="13"/>
    <tableColumn id="6" xr3:uid="{34292A98-B06E-4F41-8BD0-0EB6C7E62796}" name="Columna4" dataDxfId="12"/>
    <tableColumn id="7" xr3:uid="{A43159E8-461D-4D9D-846A-D990F07871D6}" name="Columna5" dataDxfId="11"/>
    <tableColumn id="8" xr3:uid="{7D4749BB-A552-47CF-8EF2-386D68574453}" name="Columna6" dataDxfId="10"/>
    <tableColumn id="9" xr3:uid="{593E91F0-F0EF-471F-87F7-4D71F9E7B177}" name="Columna7" dataDxfId="9"/>
    <tableColumn id="10" xr3:uid="{FB08900D-2386-4D7E-98C8-91D555DE1B7B}" name="Columna8" dataDxfId="8"/>
    <tableColumn id="11" xr3:uid="{6DB6ADD3-0A70-4548-865F-634CA4149D87}" name="Columna9" dataDxfId="7"/>
    <tableColumn id="12" xr3:uid="{A8FE3C95-B38B-405B-B2D1-D9C4D79AE1F2}" name="Columna10" dataDxfId="6"/>
    <tableColumn id="13" xr3:uid="{A3996BD3-519F-4884-BB24-FB6C970CF9ED}" name="Columna11" dataDxfId="5"/>
    <tableColumn id="14" xr3:uid="{516DD3C4-E9E6-44D6-9DA0-A74934D1BC49}" name="Columna12" dataDxfId="4"/>
    <tableColumn id="15" xr3:uid="{2A901158-73F9-4805-9DFF-BFCC4C509A73}" name="Columna13" dataDxfId="3"/>
    <tableColumn id="16" xr3:uid="{01949324-C755-432D-AB3D-66FD3D722B64}" name="Columna14" dataDxfId="2"/>
    <tableColumn id="17" xr3:uid="{A2662777-F975-4BB4-BA4E-531572932D33}" name="Columna15" dataDxfId="1"/>
    <tableColumn id="18" xr3:uid="{ACA1EE2C-83BD-4871-8FEB-DB93BED53F44}" name="Columna18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ABE3-47FE-4B3F-BAB6-C77A2BE9E620}">
  <dimension ref="B4:S37"/>
  <sheetViews>
    <sheetView tabSelected="1" zoomScale="70" zoomScaleNormal="70" workbookViewId="0">
      <selection activeCell="D38" sqref="D38"/>
    </sheetView>
  </sheetViews>
  <sheetFormatPr baseColWidth="10" defaultRowHeight="15" x14ac:dyDescent="0.25"/>
  <cols>
    <col min="2" max="2" width="23.28515625" customWidth="1"/>
    <col min="3" max="3" width="24" customWidth="1"/>
    <col min="4" max="4" width="20.5703125" customWidth="1"/>
    <col min="5" max="5" width="16.42578125" customWidth="1"/>
    <col min="6" max="6" width="17.5703125" customWidth="1"/>
    <col min="7" max="12" width="12" customWidth="1"/>
    <col min="13" max="18" width="13" customWidth="1"/>
  </cols>
  <sheetData>
    <row r="4" spans="2:19" ht="28.5" x14ac:dyDescent="0.45">
      <c r="B4" s="28" t="s">
        <v>17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2:19" x14ac:dyDescent="0.25">
      <c r="B5" s="29" t="s">
        <v>18</v>
      </c>
      <c r="C5" s="29"/>
      <c r="D5" s="29" t="s">
        <v>71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2:19" x14ac:dyDescent="0.25">
      <c r="B6" s="29" t="s">
        <v>19</v>
      </c>
      <c r="C6" s="29"/>
      <c r="D6" s="29" t="s">
        <v>72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2:19" x14ac:dyDescent="0.25">
      <c r="B7" s="29" t="s">
        <v>20</v>
      </c>
      <c r="C7" s="29"/>
      <c r="D7" s="29" t="s">
        <v>73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</row>
    <row r="8" spans="2:19" x14ac:dyDescent="0.25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2:19" x14ac:dyDescent="0.25">
      <c r="C9" s="21" t="s">
        <v>21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1"/>
    </row>
    <row r="10" spans="2:19" x14ac:dyDescent="0.25">
      <c r="B10" s="12" t="s">
        <v>43</v>
      </c>
      <c r="C10" s="13" t="s">
        <v>44</v>
      </c>
      <c r="D10" s="14" t="s">
        <v>28</v>
      </c>
      <c r="E10" s="14" t="s">
        <v>29</v>
      </c>
      <c r="F10" s="14" t="s">
        <v>30</v>
      </c>
      <c r="G10" s="14" t="s">
        <v>31</v>
      </c>
      <c r="H10" s="14" t="s">
        <v>32</v>
      </c>
      <c r="I10" s="14" t="s">
        <v>33</v>
      </c>
      <c r="J10" s="14" t="s">
        <v>34</v>
      </c>
      <c r="K10" s="14" t="s">
        <v>35</v>
      </c>
      <c r="L10" s="14" t="s">
        <v>36</v>
      </c>
      <c r="M10" s="14" t="s">
        <v>37</v>
      </c>
      <c r="N10" s="14" t="s">
        <v>38</v>
      </c>
      <c r="O10" s="14" t="s">
        <v>39</v>
      </c>
      <c r="P10" s="14" t="s">
        <v>40</v>
      </c>
      <c r="Q10" s="14" t="s">
        <v>41</v>
      </c>
      <c r="R10" s="15" t="s">
        <v>42</v>
      </c>
      <c r="S10" s="16" t="s">
        <v>45</v>
      </c>
    </row>
    <row r="11" spans="2:19" ht="75" x14ac:dyDescent="0.25">
      <c r="B11" s="8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6</v>
      </c>
      <c r="I11" s="2" t="s">
        <v>7</v>
      </c>
      <c r="J11" s="2" t="s">
        <v>8</v>
      </c>
      <c r="K11" s="2" t="s">
        <v>9</v>
      </c>
      <c r="L11" s="2" t="s">
        <v>10</v>
      </c>
      <c r="M11" s="2" t="s">
        <v>11</v>
      </c>
      <c r="N11" s="2" t="s">
        <v>12</v>
      </c>
      <c r="O11" s="2" t="s">
        <v>13</v>
      </c>
      <c r="P11" s="2" t="s">
        <v>14</v>
      </c>
      <c r="Q11" s="2" t="s">
        <v>15</v>
      </c>
      <c r="R11" s="2" t="s">
        <v>16</v>
      </c>
      <c r="S11" s="9" t="s">
        <v>23</v>
      </c>
    </row>
    <row r="12" spans="2:19" x14ac:dyDescent="0.25">
      <c r="B12" s="3" t="s">
        <v>46</v>
      </c>
      <c r="C12" s="3">
        <v>4</v>
      </c>
      <c r="D12" s="3">
        <v>4</v>
      </c>
      <c r="E12" s="3">
        <v>4</v>
      </c>
      <c r="F12" s="3">
        <v>4</v>
      </c>
      <c r="G12" s="3">
        <v>4</v>
      </c>
      <c r="H12" s="3">
        <v>4</v>
      </c>
      <c r="I12" s="3">
        <v>4</v>
      </c>
      <c r="J12" s="3">
        <v>4</v>
      </c>
      <c r="K12" s="3">
        <v>4</v>
      </c>
      <c r="L12" s="3">
        <v>4</v>
      </c>
      <c r="M12" s="3">
        <v>4</v>
      </c>
      <c r="N12" s="3">
        <v>4</v>
      </c>
      <c r="O12" s="3">
        <v>3</v>
      </c>
      <c r="P12" s="3">
        <v>4</v>
      </c>
      <c r="Q12" s="3">
        <v>4</v>
      </c>
      <c r="R12" s="3">
        <v>4</v>
      </c>
      <c r="S12" s="6">
        <f>SUM(C12:R12)</f>
        <v>63</v>
      </c>
    </row>
    <row r="13" spans="2:19" x14ac:dyDescent="0.25">
      <c r="B13" s="3" t="s">
        <v>47</v>
      </c>
      <c r="C13" s="3">
        <v>4</v>
      </c>
      <c r="D13" s="3">
        <v>4</v>
      </c>
      <c r="E13" s="3">
        <v>4</v>
      </c>
      <c r="F13" s="3">
        <v>4</v>
      </c>
      <c r="G13" s="3">
        <v>4</v>
      </c>
      <c r="H13" s="3">
        <v>4</v>
      </c>
      <c r="I13" s="3">
        <v>4</v>
      </c>
      <c r="J13" s="3">
        <v>3</v>
      </c>
      <c r="K13" s="3">
        <v>4</v>
      </c>
      <c r="L13" s="3">
        <v>4</v>
      </c>
      <c r="M13" s="3">
        <v>4</v>
      </c>
      <c r="N13" s="3">
        <v>4</v>
      </c>
      <c r="O13" s="3">
        <v>4</v>
      </c>
      <c r="P13" s="3">
        <v>4</v>
      </c>
      <c r="Q13" s="3">
        <v>4</v>
      </c>
      <c r="R13" s="3">
        <v>4</v>
      </c>
      <c r="S13" s="6">
        <f t="shared" ref="S13:S26" si="0">SUM(C13:R13)</f>
        <v>63</v>
      </c>
    </row>
    <row r="14" spans="2:19" x14ac:dyDescent="0.25">
      <c r="B14" s="3" t="s">
        <v>48</v>
      </c>
      <c r="C14" s="3">
        <v>4</v>
      </c>
      <c r="D14" s="3">
        <v>4</v>
      </c>
      <c r="E14" s="3">
        <v>4</v>
      </c>
      <c r="F14" s="3">
        <v>4</v>
      </c>
      <c r="G14" s="3">
        <v>4</v>
      </c>
      <c r="H14" s="3">
        <v>4</v>
      </c>
      <c r="I14" s="3">
        <v>4</v>
      </c>
      <c r="J14" s="3">
        <v>4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  <c r="Q14" s="3">
        <v>4</v>
      </c>
      <c r="R14" s="3">
        <v>4</v>
      </c>
      <c r="S14" s="6">
        <f t="shared" si="0"/>
        <v>64</v>
      </c>
    </row>
    <row r="15" spans="2:19" x14ac:dyDescent="0.25">
      <c r="B15" s="3" t="s">
        <v>49</v>
      </c>
      <c r="C15" s="3">
        <v>4</v>
      </c>
      <c r="D15" s="3">
        <v>4</v>
      </c>
      <c r="E15" s="3">
        <v>4</v>
      </c>
      <c r="F15" s="3">
        <v>4</v>
      </c>
      <c r="G15" s="3">
        <v>4</v>
      </c>
      <c r="H15" s="3">
        <v>4</v>
      </c>
      <c r="I15" s="3">
        <v>4</v>
      </c>
      <c r="J15" s="3">
        <v>4</v>
      </c>
      <c r="K15" s="3">
        <v>4</v>
      </c>
      <c r="L15" s="3">
        <v>4</v>
      </c>
      <c r="M15" s="3">
        <v>4</v>
      </c>
      <c r="N15" s="3">
        <v>4</v>
      </c>
      <c r="O15" s="3">
        <v>4</v>
      </c>
      <c r="P15" s="3">
        <v>4</v>
      </c>
      <c r="Q15" s="3">
        <v>4</v>
      </c>
      <c r="R15" s="3">
        <v>4</v>
      </c>
      <c r="S15" s="6">
        <f t="shared" si="0"/>
        <v>64</v>
      </c>
    </row>
    <row r="16" spans="2:19" x14ac:dyDescent="0.25">
      <c r="B16" s="3" t="s">
        <v>50</v>
      </c>
      <c r="C16" s="3">
        <v>4</v>
      </c>
      <c r="D16" s="3">
        <v>4</v>
      </c>
      <c r="E16" s="3">
        <v>3</v>
      </c>
      <c r="F16" s="3">
        <v>4</v>
      </c>
      <c r="G16" s="3">
        <v>4</v>
      </c>
      <c r="H16" s="3">
        <v>4</v>
      </c>
      <c r="I16" s="3">
        <v>4</v>
      </c>
      <c r="J16" s="3">
        <v>4</v>
      </c>
      <c r="K16" s="3">
        <v>4</v>
      </c>
      <c r="L16" s="3">
        <v>4</v>
      </c>
      <c r="M16" s="3">
        <v>4</v>
      </c>
      <c r="N16" s="3">
        <v>4</v>
      </c>
      <c r="O16" s="3">
        <v>4</v>
      </c>
      <c r="P16" s="3">
        <v>4</v>
      </c>
      <c r="Q16" s="3">
        <v>4</v>
      </c>
      <c r="R16" s="3">
        <v>3</v>
      </c>
      <c r="S16" s="6">
        <f t="shared" si="0"/>
        <v>62</v>
      </c>
    </row>
    <row r="17" spans="2:19" x14ac:dyDescent="0.25">
      <c r="B17" s="3" t="s">
        <v>51</v>
      </c>
      <c r="C17" s="3">
        <v>4</v>
      </c>
      <c r="D17" s="3">
        <v>3</v>
      </c>
      <c r="E17" s="3">
        <v>4</v>
      </c>
      <c r="F17" s="3">
        <v>3</v>
      </c>
      <c r="G17" s="3">
        <v>4</v>
      </c>
      <c r="H17" s="3">
        <v>4</v>
      </c>
      <c r="I17" s="3">
        <v>4</v>
      </c>
      <c r="J17" s="3">
        <v>3</v>
      </c>
      <c r="K17" s="3">
        <v>4</v>
      </c>
      <c r="L17" s="3">
        <v>4</v>
      </c>
      <c r="M17" s="3">
        <v>4</v>
      </c>
      <c r="N17" s="3">
        <v>4</v>
      </c>
      <c r="O17" s="3">
        <v>4</v>
      </c>
      <c r="P17" s="3">
        <v>4</v>
      </c>
      <c r="Q17" s="3">
        <v>4</v>
      </c>
      <c r="R17" s="3">
        <v>4</v>
      </c>
      <c r="S17" s="6">
        <f t="shared" si="0"/>
        <v>61</v>
      </c>
    </row>
    <row r="18" spans="2:19" x14ac:dyDescent="0.25">
      <c r="B18" s="3" t="s">
        <v>52</v>
      </c>
      <c r="C18" s="3">
        <v>4</v>
      </c>
      <c r="D18" s="3">
        <v>4</v>
      </c>
      <c r="E18" s="3">
        <v>3</v>
      </c>
      <c r="F18" s="3">
        <v>4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3</v>
      </c>
      <c r="P18" s="3">
        <v>4</v>
      </c>
      <c r="Q18" s="3">
        <v>4</v>
      </c>
      <c r="R18" s="3">
        <v>3</v>
      </c>
      <c r="S18" s="6">
        <f t="shared" si="0"/>
        <v>61</v>
      </c>
    </row>
    <row r="19" spans="2:19" x14ac:dyDescent="0.25">
      <c r="B19" s="3" t="s">
        <v>53</v>
      </c>
      <c r="C19" s="3">
        <v>4</v>
      </c>
      <c r="D19" s="3">
        <v>4</v>
      </c>
      <c r="E19" s="3">
        <v>4</v>
      </c>
      <c r="F19" s="3">
        <v>4</v>
      </c>
      <c r="G19" s="3">
        <v>4</v>
      </c>
      <c r="H19" s="3">
        <v>4</v>
      </c>
      <c r="I19" s="3">
        <v>4</v>
      </c>
      <c r="J19" s="3">
        <v>4</v>
      </c>
      <c r="K19" s="3">
        <v>4</v>
      </c>
      <c r="L19" s="3">
        <v>4</v>
      </c>
      <c r="M19" s="3">
        <v>4</v>
      </c>
      <c r="N19" s="3">
        <v>4</v>
      </c>
      <c r="O19" s="3">
        <v>4</v>
      </c>
      <c r="P19" s="3">
        <v>4</v>
      </c>
      <c r="Q19" s="3">
        <v>4</v>
      </c>
      <c r="R19" s="3">
        <v>4</v>
      </c>
      <c r="S19" s="6">
        <f t="shared" si="0"/>
        <v>64</v>
      </c>
    </row>
    <row r="20" spans="2:19" x14ac:dyDescent="0.25">
      <c r="B20" s="3" t="s">
        <v>54</v>
      </c>
      <c r="C20" s="3">
        <v>4</v>
      </c>
      <c r="D20" s="3">
        <v>4</v>
      </c>
      <c r="E20" s="3">
        <v>4</v>
      </c>
      <c r="F20" s="3">
        <v>4</v>
      </c>
      <c r="G20" s="3">
        <v>4</v>
      </c>
      <c r="H20" s="3">
        <v>4</v>
      </c>
      <c r="I20" s="3">
        <v>4</v>
      </c>
      <c r="J20" s="3">
        <v>3</v>
      </c>
      <c r="K20" s="3">
        <v>4</v>
      </c>
      <c r="L20" s="3">
        <v>4</v>
      </c>
      <c r="M20" s="3">
        <v>4</v>
      </c>
      <c r="N20" s="3">
        <v>4</v>
      </c>
      <c r="O20" s="3">
        <v>4</v>
      </c>
      <c r="P20" s="3">
        <v>4</v>
      </c>
      <c r="Q20" s="3">
        <v>4</v>
      </c>
      <c r="R20" s="3">
        <v>4</v>
      </c>
      <c r="S20" s="6">
        <f t="shared" si="0"/>
        <v>63</v>
      </c>
    </row>
    <row r="21" spans="2:19" x14ac:dyDescent="0.25">
      <c r="B21" s="3" t="s">
        <v>55</v>
      </c>
      <c r="C21" s="3">
        <v>4</v>
      </c>
      <c r="D21" s="3">
        <v>3</v>
      </c>
      <c r="E21" s="3">
        <v>4</v>
      </c>
      <c r="F21" s="3">
        <v>4</v>
      </c>
      <c r="G21" s="3">
        <v>4</v>
      </c>
      <c r="H21" s="3">
        <v>4</v>
      </c>
      <c r="I21" s="3">
        <v>4</v>
      </c>
      <c r="J21" s="3">
        <v>4</v>
      </c>
      <c r="K21" s="3">
        <v>4</v>
      </c>
      <c r="L21" s="3">
        <v>4</v>
      </c>
      <c r="M21" s="3">
        <v>4</v>
      </c>
      <c r="N21" s="3">
        <v>4</v>
      </c>
      <c r="O21" s="3">
        <v>4</v>
      </c>
      <c r="P21" s="3">
        <v>4</v>
      </c>
      <c r="Q21" s="3">
        <v>4</v>
      </c>
      <c r="R21" s="3">
        <v>4</v>
      </c>
      <c r="S21" s="6">
        <f t="shared" si="0"/>
        <v>63</v>
      </c>
    </row>
    <row r="22" spans="2:19" x14ac:dyDescent="0.25">
      <c r="B22" s="3" t="s">
        <v>56</v>
      </c>
      <c r="C22" s="3">
        <v>4</v>
      </c>
      <c r="D22" s="3">
        <v>4</v>
      </c>
      <c r="E22" s="3">
        <v>4</v>
      </c>
      <c r="F22" s="3">
        <v>4</v>
      </c>
      <c r="G22" s="3">
        <v>4</v>
      </c>
      <c r="H22" s="3">
        <v>4</v>
      </c>
      <c r="I22" s="3">
        <v>4</v>
      </c>
      <c r="J22" s="3">
        <v>3</v>
      </c>
      <c r="K22" s="3">
        <v>4</v>
      </c>
      <c r="L22" s="3">
        <v>4</v>
      </c>
      <c r="M22" s="3">
        <v>4</v>
      </c>
      <c r="N22" s="3">
        <v>4</v>
      </c>
      <c r="O22" s="3">
        <v>4</v>
      </c>
      <c r="P22" s="3">
        <v>4</v>
      </c>
      <c r="Q22" s="3">
        <v>4</v>
      </c>
      <c r="R22" s="3">
        <v>4</v>
      </c>
      <c r="S22" s="6">
        <f t="shared" si="0"/>
        <v>63</v>
      </c>
    </row>
    <row r="23" spans="2:19" x14ac:dyDescent="0.25">
      <c r="B23" s="3" t="s">
        <v>57</v>
      </c>
      <c r="C23" s="3">
        <v>4</v>
      </c>
      <c r="D23" s="3">
        <v>4</v>
      </c>
      <c r="E23" s="3">
        <v>4</v>
      </c>
      <c r="F23" s="3">
        <v>4</v>
      </c>
      <c r="G23" s="3">
        <v>4</v>
      </c>
      <c r="H23" s="3">
        <v>4</v>
      </c>
      <c r="I23" s="3">
        <v>4</v>
      </c>
      <c r="J23" s="3">
        <v>4</v>
      </c>
      <c r="K23" s="3">
        <v>4</v>
      </c>
      <c r="L23" s="3">
        <v>4</v>
      </c>
      <c r="M23" s="3">
        <v>4</v>
      </c>
      <c r="N23" s="3">
        <v>4</v>
      </c>
      <c r="O23" s="3">
        <v>4</v>
      </c>
      <c r="P23" s="3">
        <v>4</v>
      </c>
      <c r="Q23" s="3">
        <v>4</v>
      </c>
      <c r="R23" s="3">
        <v>4</v>
      </c>
      <c r="S23" s="6">
        <f t="shared" si="0"/>
        <v>64</v>
      </c>
    </row>
    <row r="24" spans="2:19" x14ac:dyDescent="0.25">
      <c r="B24" s="3" t="s">
        <v>58</v>
      </c>
      <c r="C24" s="3">
        <v>4</v>
      </c>
      <c r="D24" s="3">
        <v>4</v>
      </c>
      <c r="E24" s="3">
        <v>3</v>
      </c>
      <c r="F24" s="3">
        <v>4</v>
      </c>
      <c r="G24" s="3">
        <v>4</v>
      </c>
      <c r="H24" s="3">
        <v>4</v>
      </c>
      <c r="I24" s="3">
        <v>4</v>
      </c>
      <c r="J24" s="3">
        <v>4</v>
      </c>
      <c r="K24" s="3">
        <v>4</v>
      </c>
      <c r="L24" s="3">
        <v>4</v>
      </c>
      <c r="M24" s="3">
        <v>4</v>
      </c>
      <c r="N24" s="3">
        <v>4</v>
      </c>
      <c r="O24" s="3">
        <v>4</v>
      </c>
      <c r="P24" s="3">
        <v>4</v>
      </c>
      <c r="Q24" s="3">
        <v>4</v>
      </c>
      <c r="R24" s="3">
        <v>4</v>
      </c>
      <c r="S24" s="6">
        <f t="shared" si="0"/>
        <v>63</v>
      </c>
    </row>
    <row r="25" spans="2:19" x14ac:dyDescent="0.25">
      <c r="B25" s="3" t="s">
        <v>59</v>
      </c>
      <c r="C25" s="3">
        <v>4</v>
      </c>
      <c r="D25" s="3">
        <v>4</v>
      </c>
      <c r="E25" s="3">
        <v>2</v>
      </c>
      <c r="F25" s="3">
        <v>4</v>
      </c>
      <c r="G25" s="3">
        <v>4</v>
      </c>
      <c r="H25" s="3">
        <v>4</v>
      </c>
      <c r="I25" s="3">
        <v>4</v>
      </c>
      <c r="J25" s="3">
        <v>4</v>
      </c>
      <c r="K25" s="3">
        <v>4</v>
      </c>
      <c r="L25" s="3">
        <v>3</v>
      </c>
      <c r="M25" s="3">
        <v>4</v>
      </c>
      <c r="N25" s="3">
        <v>4</v>
      </c>
      <c r="O25" s="3">
        <v>3</v>
      </c>
      <c r="P25" s="3">
        <v>4</v>
      </c>
      <c r="Q25" s="3">
        <v>4</v>
      </c>
      <c r="R25" s="3">
        <v>2</v>
      </c>
      <c r="S25" s="6">
        <f t="shared" si="0"/>
        <v>58</v>
      </c>
    </row>
    <row r="26" spans="2:19" x14ac:dyDescent="0.25">
      <c r="B26" s="3" t="s">
        <v>60</v>
      </c>
      <c r="C26" s="3">
        <v>3</v>
      </c>
      <c r="D26" s="3">
        <v>4</v>
      </c>
      <c r="E26" s="3">
        <v>2</v>
      </c>
      <c r="F26" s="3">
        <v>4</v>
      </c>
      <c r="G26" s="3">
        <v>4</v>
      </c>
      <c r="H26" s="3">
        <v>4</v>
      </c>
      <c r="I26" s="3">
        <v>4</v>
      </c>
      <c r="J26" s="3">
        <v>4</v>
      </c>
      <c r="K26" s="3">
        <v>4</v>
      </c>
      <c r="L26" s="3">
        <v>4</v>
      </c>
      <c r="M26" s="3">
        <v>4</v>
      </c>
      <c r="N26" s="3">
        <v>4</v>
      </c>
      <c r="O26" s="3">
        <v>2</v>
      </c>
      <c r="P26" s="3">
        <v>4</v>
      </c>
      <c r="Q26" s="3">
        <v>4</v>
      </c>
      <c r="R26" s="3">
        <v>2</v>
      </c>
      <c r="S26" s="6">
        <f t="shared" si="0"/>
        <v>57</v>
      </c>
    </row>
    <row r="27" spans="2:19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  <c r="Q27" s="10" t="s">
        <v>24</v>
      </c>
      <c r="R27" s="11"/>
      <c r="S27" s="7">
        <f>AVERAGE(S12:S26)</f>
        <v>62.2</v>
      </c>
    </row>
    <row r="28" spans="2:19" x14ac:dyDescent="0.25">
      <c r="B28" s="25" t="s">
        <v>22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  <c r="R28" s="26"/>
      <c r="S28" s="26"/>
    </row>
    <row r="30" spans="2:19" ht="23.25" x14ac:dyDescent="0.35">
      <c r="B30" s="27" t="s">
        <v>25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2:19" ht="20.25" customHeight="1" x14ac:dyDescent="0.25">
      <c r="B31" s="22" t="s">
        <v>26</v>
      </c>
      <c r="C31" s="23"/>
      <c r="D31" s="23"/>
      <c r="E31" s="23"/>
      <c r="F31" s="23"/>
      <c r="G31" s="23"/>
      <c r="H31" s="23"/>
      <c r="I31" s="23"/>
      <c r="J31" s="24"/>
      <c r="K31" s="22" t="s">
        <v>27</v>
      </c>
      <c r="L31" s="23"/>
      <c r="M31" s="23"/>
      <c r="N31" s="23"/>
      <c r="O31" s="23"/>
      <c r="P31" s="23"/>
      <c r="Q31" s="23"/>
      <c r="R31" s="23"/>
      <c r="S31" s="24"/>
    </row>
    <row r="32" spans="2:19" x14ac:dyDescent="0.25">
      <c r="B32" s="30" t="s">
        <v>61</v>
      </c>
      <c r="C32" s="31"/>
      <c r="D32" s="31"/>
      <c r="E32" s="31"/>
      <c r="F32" s="31"/>
      <c r="G32" s="31"/>
      <c r="H32" s="31"/>
      <c r="I32" s="31"/>
      <c r="J32" s="32"/>
      <c r="K32" s="18" t="s">
        <v>66</v>
      </c>
      <c r="L32" s="19"/>
      <c r="M32" s="19"/>
      <c r="N32" s="19"/>
      <c r="O32" s="19"/>
      <c r="P32" s="19"/>
      <c r="Q32" s="19"/>
      <c r="R32" s="19"/>
      <c r="S32" s="20"/>
    </row>
    <row r="33" spans="2:19" x14ac:dyDescent="0.25">
      <c r="B33" s="30" t="s">
        <v>62</v>
      </c>
      <c r="C33" s="31"/>
      <c r="D33" s="31"/>
      <c r="E33" s="31"/>
      <c r="F33" s="31"/>
      <c r="G33" s="31"/>
      <c r="H33" s="31"/>
      <c r="I33" s="31"/>
      <c r="J33" s="32"/>
      <c r="K33" s="18" t="s">
        <v>67</v>
      </c>
      <c r="L33" s="19"/>
      <c r="M33" s="19"/>
      <c r="N33" s="19"/>
      <c r="O33" s="19"/>
      <c r="P33" s="19"/>
      <c r="Q33" s="19"/>
      <c r="R33" s="19"/>
      <c r="S33" s="20"/>
    </row>
    <row r="34" spans="2:19" x14ac:dyDescent="0.25">
      <c r="B34" s="30" t="s">
        <v>63</v>
      </c>
      <c r="C34" s="31"/>
      <c r="D34" s="31"/>
      <c r="E34" s="31"/>
      <c r="F34" s="31"/>
      <c r="G34" s="31"/>
      <c r="H34" s="31"/>
      <c r="I34" s="31"/>
      <c r="J34" s="32"/>
      <c r="K34" s="18" t="s">
        <v>68</v>
      </c>
      <c r="L34" s="19"/>
      <c r="M34" s="19"/>
      <c r="N34" s="19"/>
      <c r="O34" s="19"/>
      <c r="P34" s="19"/>
      <c r="Q34" s="19"/>
      <c r="R34" s="19"/>
      <c r="S34" s="20"/>
    </row>
    <row r="35" spans="2:19" x14ac:dyDescent="0.25">
      <c r="B35" s="30" t="s">
        <v>64</v>
      </c>
      <c r="C35" s="31"/>
      <c r="D35" s="31"/>
      <c r="E35" s="31"/>
      <c r="F35" s="31"/>
      <c r="G35" s="31"/>
      <c r="H35" s="31"/>
      <c r="I35" s="31"/>
      <c r="J35" s="32"/>
      <c r="K35" s="18" t="s">
        <v>69</v>
      </c>
      <c r="L35" s="19"/>
      <c r="M35" s="19"/>
      <c r="N35" s="19"/>
      <c r="O35" s="19"/>
      <c r="P35" s="19"/>
      <c r="Q35" s="19"/>
      <c r="R35" s="19"/>
      <c r="S35" s="20"/>
    </row>
    <row r="36" spans="2:19" x14ac:dyDescent="0.25">
      <c r="B36" s="30" t="s">
        <v>65</v>
      </c>
      <c r="C36" s="31"/>
      <c r="D36" s="31"/>
      <c r="E36" s="31"/>
      <c r="F36" s="31"/>
      <c r="G36" s="31"/>
      <c r="H36" s="31"/>
      <c r="I36" s="31"/>
      <c r="J36" s="32"/>
      <c r="K36" s="30" t="s">
        <v>70</v>
      </c>
      <c r="L36" s="31"/>
      <c r="M36" s="31"/>
      <c r="N36" s="31"/>
      <c r="O36" s="31"/>
      <c r="P36" s="31"/>
      <c r="Q36" s="31"/>
      <c r="R36" s="31"/>
      <c r="S36" s="32"/>
    </row>
    <row r="37" spans="2:19" x14ac:dyDescent="0.25">
      <c r="B37" s="18"/>
      <c r="C37" s="19"/>
      <c r="D37" s="19"/>
      <c r="E37" s="19"/>
      <c r="F37" s="19"/>
      <c r="G37" s="19"/>
      <c r="H37" s="19"/>
      <c r="I37" s="19"/>
      <c r="J37" s="20"/>
      <c r="K37" s="18"/>
      <c r="L37" s="19"/>
      <c r="M37" s="19"/>
      <c r="N37" s="19"/>
      <c r="O37" s="19"/>
      <c r="P37" s="19"/>
      <c r="Q37" s="19"/>
      <c r="R37" s="19"/>
      <c r="S37" s="20"/>
    </row>
  </sheetData>
  <mergeCells count="24">
    <mergeCell ref="B28:S28"/>
    <mergeCell ref="B30:R30"/>
    <mergeCell ref="B4:S4"/>
    <mergeCell ref="B5:C5"/>
    <mergeCell ref="B6:C6"/>
    <mergeCell ref="B7:C7"/>
    <mergeCell ref="D5:R5"/>
    <mergeCell ref="D6:R6"/>
    <mergeCell ref="D7:R7"/>
    <mergeCell ref="B33:J33"/>
    <mergeCell ref="B34:J34"/>
    <mergeCell ref="B35:J35"/>
    <mergeCell ref="B36:J36"/>
    <mergeCell ref="B37:J37"/>
    <mergeCell ref="K33:S33"/>
    <mergeCell ref="K34:S34"/>
    <mergeCell ref="K35:S35"/>
    <mergeCell ref="K36:S36"/>
    <mergeCell ref="K37:S37"/>
    <mergeCell ref="C9:R9"/>
    <mergeCell ref="K32:S32"/>
    <mergeCell ref="B32:J32"/>
    <mergeCell ref="B31:J31"/>
    <mergeCell ref="K31:S31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jrsc</dc:creator>
  <cp:lastModifiedBy>gerardo barreno</cp:lastModifiedBy>
  <dcterms:created xsi:type="dcterms:W3CDTF">2024-10-28T21:33:41Z</dcterms:created>
  <dcterms:modified xsi:type="dcterms:W3CDTF">2026-03-31T16:02:20Z</dcterms:modified>
</cp:coreProperties>
</file>